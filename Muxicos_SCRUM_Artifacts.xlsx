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ngel Mario Aguino\Downloads\"/>
    </mc:Choice>
  </mc:AlternateContent>
  <xr:revisionPtr revIDLastSave="0" documentId="8_{00BB1EE9-22C1-4A0F-9374-43B86B442D9F}" xr6:coauthVersionLast="47" xr6:coauthVersionMax="47" xr10:uidLastSave="{00000000-0000-0000-0000-000000000000}"/>
  <bookViews>
    <workbookView xWindow="-120" yWindow="-120" windowWidth="20730" windowHeight="11760" activeTab="2" xr2:uid="{4C30670D-53CE-40D0-8B51-E2761B8A86DB}"/>
  </bookViews>
  <sheets>
    <sheet name="Product Backlog" sheetId="1" r:id="rId1"/>
    <sheet name="Planificación de Sprints" sheetId="2" r:id="rId2"/>
    <sheet name="Dashboard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9" i="1" l="1"/>
  <c r="G18" i="1"/>
  <c r="G26" i="1"/>
  <c r="G34" i="1"/>
  <c r="G41" i="1"/>
</calcChain>
</file>

<file path=xl/sharedStrings.xml><?xml version="1.0" encoding="utf-8"?>
<sst xmlns="http://schemas.openxmlformats.org/spreadsheetml/2006/main" count="238" uniqueCount="110">
  <si>
    <t>ID</t>
  </si>
  <si>
    <t>Sprint</t>
  </si>
  <si>
    <t>Sprint 1</t>
  </si>
  <si>
    <t>Priority</t>
  </si>
  <si>
    <t>Status</t>
  </si>
  <si>
    <t>Owner</t>
  </si>
  <si>
    <t>User Story</t>
  </si>
  <si>
    <t>Estimate (Hrs)</t>
  </si>
  <si>
    <t>Start Date</t>
  </si>
  <si>
    <t>End Date</t>
  </si>
  <si>
    <t>US-001</t>
  </si>
  <si>
    <t>High</t>
  </si>
  <si>
    <t>Done</t>
  </si>
  <si>
    <t>Angel</t>
  </si>
  <si>
    <t>US-002</t>
  </si>
  <si>
    <t>Sprint 2</t>
  </si>
  <si>
    <t>US-003</t>
  </si>
  <si>
    <t>Medium</t>
  </si>
  <si>
    <t>Sprint 3</t>
  </si>
  <si>
    <t>US-004</t>
  </si>
  <si>
    <t>Sprint 4</t>
  </si>
  <si>
    <t>US-005</t>
  </si>
  <si>
    <t>Low</t>
  </si>
  <si>
    <t>Sprint 5</t>
  </si>
  <si>
    <t>SPRINT 1</t>
  </si>
  <si>
    <t>SETUP &amp; BASE DE DATOS</t>
  </si>
  <si>
    <t>Como desarrollador, quiero crear el repositorio en GitHub y configurar el entorno virtual de Python.</t>
  </si>
  <si>
    <t>Como desarrollador, quiero instalar Flask y las dependencias necesarias (requirements.txt).</t>
  </si>
  <si>
    <t>Como desarrollador, quiero configurar la conexión a Neon PostgreSQL y verificar la latencia.</t>
  </si>
  <si>
    <t>Como analista, quiero diseñar el diagrama ER de la base de datos (Usuarios, Cursos).</t>
  </si>
  <si>
    <t>Como diseñador, quiero definir la paleta de colores oscuros y tipografía (Tailwind config).</t>
  </si>
  <si>
    <t>Axel</t>
  </si>
  <si>
    <t>US-006</t>
  </si>
  <si>
    <t>Como desarrollador, quiero crear los modelos SQL (Tablas) iniciales en la base de datos.</t>
  </si>
  <si>
    <t>US-007</t>
  </si>
  <si>
    <t>Como desarrollador, quiero configurar la estructura de carpetas (templates, static) en Flask.</t>
  </si>
  <si>
    <t>SPRINT 2</t>
  </si>
  <si>
    <t>AUTENTICACIÓN &amp; ESTRUCTURA</t>
  </si>
  <si>
    <t>US-008</t>
  </si>
  <si>
    <t>Como usuario, quiero un formulario de Registro para crear una cuenta nueva.</t>
  </si>
  <si>
    <t>US-009</t>
  </si>
  <si>
    <t>Como usuario, quiero un formulario de Login para acceder a mi cuenta.</t>
  </si>
  <si>
    <t>US-010</t>
  </si>
  <si>
    <t>Como desarrollador, quiero implementar el manejo de sesiones seguras en Flask.</t>
  </si>
  <si>
    <t>US-011</t>
  </si>
  <si>
    <t>Como usuario, quiero ver una página de error 404 personalizada si me pierdo.</t>
  </si>
  <si>
    <t>US-012</t>
  </si>
  <si>
    <t>Como desarrollador, quiero crear el layout base (HTML) para heredar en todas las páginas.</t>
  </si>
  <si>
    <t>US-013</t>
  </si>
  <si>
    <t>Como administrador, quiero un script semilla para poblar la BD con datos de prueba.</t>
  </si>
  <si>
    <t>SPRINT 3</t>
  </si>
  <si>
    <t>NAVEGACIÓN (SIDEBAR) &amp; ASSETS</t>
  </si>
  <si>
    <t>US-014</t>
  </si>
  <si>
    <t>Como usuario, quiero ver una barra lateral (Sidebar) fija a la izquierda.</t>
  </si>
  <si>
    <t>US-015</t>
  </si>
  <si>
    <t>Como usuario, quiero poder colapsar la Sidebar para tener más espacio de visión.</t>
  </si>
  <si>
    <t>US-016</t>
  </si>
  <si>
    <t>Como diseñador, quiero crear las variantes del logo (Completo e Icono) para la Sidebar.</t>
  </si>
  <si>
    <t>US-017</t>
  </si>
  <si>
    <t>Como desarrollador, quiero integrar lógica JS para recordar el estado (abierto/cerrado) de la Sidebar.</t>
  </si>
  <si>
    <t>US-018</t>
  </si>
  <si>
    <t>Como usuario, quiero que el menú sea responsivo en dispositivos móviles.</t>
  </si>
  <si>
    <t>US-019</t>
  </si>
  <si>
    <t>Como desarrollador, quiero solucionar problemas de rutas relativas en la carpeta 'static'.</t>
  </si>
  <si>
    <t>SPRINT 4</t>
  </si>
  <si>
    <t>HOME PAGE &amp; DESCUBRIMIENTO</t>
  </si>
  <si>
    <t>US-020</t>
  </si>
  <si>
    <t>Como usuario, quiero ver una cuadrícula de cursos recientes en la página de inicio.</t>
  </si>
  <si>
    <t>US-021</t>
  </si>
  <si>
    <t>Como usuario, quiero ver un "Hero Banner" principal que destaque contenido importante.</t>
  </si>
  <si>
    <t>US-022</t>
  </si>
  <si>
    <t>Como diseñador, quiero animaciones suaves (hover) en las tarjetas de los cursos.</t>
  </si>
  <si>
    <t>US-023</t>
  </si>
  <si>
    <t>Como usuario, quiero ver mi foto de perfil y menú de usuario en la esquina superior.</t>
  </si>
  <si>
    <t>US-024</t>
  </si>
  <si>
    <t>Como desarrollador, quiero refactorizar el CSS para usar utilidades de Tailwind correctamente.</t>
  </si>
  <si>
    <t>SPRINT 5</t>
  </si>
  <si>
    <t>REFINAMIENTO VISUAL (ACTUAL)</t>
  </si>
  <si>
    <t>US-025</t>
  </si>
  <si>
    <t>Como usuario, quiero un Slider automático en el Home para ver múltiples destacados.</t>
  </si>
  <si>
    <t>US-026</t>
  </si>
  <si>
    <t>Como estudiante, quiero un reproductor de video con efecto "Ambient Glow" inmersivo.</t>
  </si>
  <si>
    <t>US-027</t>
  </si>
  <si>
    <t>Como usuario, quiero ver secciones de anuncios (Membresía/Listas) en el Home.</t>
  </si>
  <si>
    <t>US-028</t>
  </si>
  <si>
    <t>Como usuario, quiero que el logo y el icono de la sidebar cambien suavemente (Cross-fade).</t>
  </si>
  <si>
    <t>US-029</t>
  </si>
  <si>
    <t>Como usuario, quiero navegar por categorías de instrumentos desde el Home.</t>
  </si>
  <si>
    <t>US-030</t>
  </si>
  <si>
    <t>Como QA, quiero verificar que no existan enlaces rotos en la navegación principal.</t>
  </si>
  <si>
    <t>Sprint Goal</t>
  </si>
  <si>
    <t>Inicialización: Configuración de entorno, conexión a BD Neon y estructura base del servidor Flask.</t>
  </si>
  <si>
    <t>Completed</t>
  </si>
  <si>
    <t>Seguridad &amp; Core: Implementación completa del sistema de Autenticación (Login/Registro) y Layouts maestros.</t>
  </si>
  <si>
    <t>Navegación: Desarrollo de la interfaz de navegación (Sidebar) responsiva y gestión de assets estáticos.</t>
  </si>
  <si>
    <t>Descubrimiento: Diseño e implementación del Dashboard principal (Home) y sistema de tarjetas de cursos.</t>
  </si>
  <si>
    <t>Experiencia de Usuario (UI/UX): Refinamiento visual (Efectos Glow, Sliders), optimización de vistas de detalle y QA final.</t>
  </si>
  <si>
    <t>Horas</t>
  </si>
  <si>
    <t xml:space="preserve">Sprint 1   </t>
  </si>
  <si>
    <t xml:space="preserve">Sprint 2  </t>
  </si>
  <si>
    <t>Rol</t>
  </si>
  <si>
    <t>Desarrollo &amp; Análisis (Angel)</t>
  </si>
  <si>
    <t>Diseño &amp; Scrum Master (Axel)</t>
  </si>
  <si>
    <t>Hito</t>
  </si>
  <si>
    <t>Horas Restantes</t>
  </si>
  <si>
    <t>Fin Sprint 5 (Hoy)</t>
  </si>
  <si>
    <t>Fin Sprint 4</t>
  </si>
  <si>
    <t>Fin Sprint 3</t>
  </si>
  <si>
    <t>Fin Sprint 2</t>
  </si>
  <si>
    <t>Inicio (02 Oct)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</si>
</sst>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14" fontId="0" fillId="0" borderId="0" xfId="0" applyNumberFormat="1" applyBorder="1"/>
    <xf numFmtId="14" fontId="0" fillId="0" borderId="0" xfId="0" applyNumberForma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17"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9" formatCode="dd/mm/yyyy"/>
      <border diagonalUp="0" diagonalDown="0" outline="0">
        <left/>
        <right/>
        <top/>
        <bottom/>
      </border>
    </dxf>
    <dxf>
      <numFmt numFmtId="19" formatCode="dd/mm/yyyy"/>
      <border diagonalUp="0" diagonalDown="0" outline="0">
        <left/>
        <right/>
        <top/>
        <bottom/>
      </border>
    </dxf>
    <dxf>
      <alignment horizontal="center" vertical="bottom" textRotation="0" wrapText="0" indent="0" justifyLastLine="0" shrinkToFit="0" readingOrder="0"/>
    </dxf>
    <dxf>
      <numFmt numFmtId="19" formatCode="dd/mm/yyyy"/>
    </dxf>
    <dxf>
      <numFmt numFmtId="19" formatCode="dd/mm/yyyy"/>
    </dxf>
    <dxf>
      <alignment horizontal="center" vertical="bottom" textRotation="0" wrapText="0" indent="0" justifyLastLine="0" shrinkToFit="0" readingOrder="0"/>
    </dxf>
    <dxf>
      <font>
        <b/>
      </font>
    </dxf>
    <dxf>
      <numFmt numFmtId="19" formatCode="dd/mm/yyyy"/>
    </dxf>
    <dxf>
      <numFmt numFmtId="19" formatCode="dd/mm/yyyy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400" b="0" i="0" u="none" strike="noStrike" baseline="0">
                <a:solidFill>
                  <a:schemeClr val="bg1"/>
                </a:solidFill>
              </a:rPr>
              <a:t>Gráfica de Velocidad </a:t>
            </a:r>
            <a:r>
              <a:rPr lang="es-MX" sz="1400" b="0" i="0" u="none" strike="noStrike" baseline="0">
                <a:solidFill>
                  <a:schemeClr val="bg1">
                    <a:lumMod val="65000"/>
                  </a:schemeClr>
                </a:solidFill>
              </a:rPr>
              <a:t>(Horas por Sprint)</a:t>
            </a:r>
            <a:endParaRPr lang="en-US">
              <a:solidFill>
                <a:schemeClr val="bg1">
                  <a:lumMod val="65000"/>
                </a:schemeClr>
              </a:solidFill>
            </a:endParaRPr>
          </a:p>
        </c:rich>
      </c:tx>
      <c:layout>
        <c:manualLayout>
          <c:xMode val="edge"/>
          <c:yMode val="edge"/>
          <c:x val="0.23735411198600176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Dashboards!$B$1</c:f>
              <c:strCache>
                <c:ptCount val="1"/>
                <c:pt idx="0">
                  <c:v>Horas</c:v>
                </c:pt>
              </c:strCache>
            </c:strRef>
          </c:tx>
          <c:spPr>
            <a:gradFill flip="none" rotWithShape="1">
              <a:gsLst>
                <a:gs pos="0">
                  <a:schemeClr val="accent3">
                    <a:lumMod val="67000"/>
                  </a:schemeClr>
                </a:gs>
                <a:gs pos="48000">
                  <a:schemeClr val="accent3">
                    <a:lumMod val="97000"/>
                    <a:lumOff val="3000"/>
                  </a:schemeClr>
                </a:gs>
                <a:gs pos="100000">
                  <a:schemeClr val="accent3">
                    <a:lumMod val="60000"/>
                    <a:lumOff val="40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Dashboards!$A$2:$A$6</c:f>
              <c:strCache>
                <c:ptCount val="5"/>
                <c:pt idx="0">
                  <c:v>Sprint 1   </c:v>
                </c:pt>
                <c:pt idx="1">
                  <c:v>Sprint 2  </c:v>
                </c:pt>
                <c:pt idx="2">
                  <c:v>Sprint 3</c:v>
                </c:pt>
                <c:pt idx="3">
                  <c:v>Sprint 4</c:v>
                </c:pt>
                <c:pt idx="4">
                  <c:v>Sprint 5</c:v>
                </c:pt>
              </c:strCache>
            </c:strRef>
          </c:cat>
          <c:val>
            <c:numRef>
              <c:f>Dashboards!$B$2:$B$6</c:f>
              <c:numCache>
                <c:formatCode>General</c:formatCode>
                <c:ptCount val="5"/>
                <c:pt idx="0">
                  <c:v>30</c:v>
                </c:pt>
                <c:pt idx="1">
                  <c:v>32</c:v>
                </c:pt>
                <c:pt idx="2">
                  <c:v>34</c:v>
                </c:pt>
                <c:pt idx="3">
                  <c:v>25</c:v>
                </c:pt>
                <c:pt idx="4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33-40B8-A03A-E605467C6A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0834528"/>
        <c:axId val="1680835008"/>
      </c:barChart>
      <c:catAx>
        <c:axId val="1680834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80835008"/>
        <c:crosses val="autoZero"/>
        <c:auto val="1"/>
        <c:lblAlgn val="ctr"/>
        <c:lblOffset val="100"/>
        <c:noMultiLvlLbl val="0"/>
      </c:catAx>
      <c:valAx>
        <c:axId val="168083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8083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800" b="1" i="0" u="none" strike="noStrike" baseline="0">
                <a:solidFill>
                  <a:schemeClr val="bg1"/>
                </a:solidFill>
              </a:rPr>
              <a:t>Distribución de Carga de Trabajo</a:t>
            </a:r>
            <a:endParaRPr lang="en-US" baseline="0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Dashboards!$B$19</c:f>
              <c:strCache>
                <c:ptCount val="1"/>
                <c:pt idx="0">
                  <c:v>Horas</c:v>
                </c:pt>
              </c:strCache>
            </c:strRef>
          </c:tx>
          <c:spPr>
            <a:gradFill flip="none" rotWithShape="1">
              <a:gsLst>
                <a:gs pos="0">
                  <a:schemeClr val="accent3">
                    <a:lumMod val="89000"/>
                  </a:schemeClr>
                </a:gs>
                <a:gs pos="23000">
                  <a:schemeClr val="accent3">
                    <a:lumMod val="89000"/>
                  </a:schemeClr>
                </a:gs>
                <a:gs pos="69000">
                  <a:schemeClr val="accent3">
                    <a:lumMod val="75000"/>
                  </a:schemeClr>
                </a:gs>
                <a:gs pos="97000">
                  <a:schemeClr val="accent3">
                    <a:lumMod val="70000"/>
                  </a:schemeClr>
                </a:gs>
              </a:gsLst>
              <a:path path="circle">
                <a:fillToRect l="50000" t="50000" r="50000" b="50000"/>
              </a:path>
              <a:tileRect/>
            </a:gradFill>
          </c:spPr>
          <c:dPt>
            <c:idx val="0"/>
            <c:bubble3D val="0"/>
            <c:spPr>
              <a:gradFill flip="none" rotWithShape="1"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46000">
                    <a:schemeClr val="accent3">
                      <a:lumMod val="95000"/>
                      <a:lumOff val="5000"/>
                    </a:schemeClr>
                  </a:gs>
                  <a:gs pos="100000">
                    <a:schemeClr val="accent3">
                      <a:lumMod val="60000"/>
                    </a:schemeClr>
                  </a:gs>
                </a:gsLst>
                <a:path path="circle">
                  <a:fillToRect l="50000" t="130000" r="50000" b="-30000"/>
                </a:path>
                <a:tileRect/>
              </a:gra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9FB3-4C94-A268-E688E1E888BE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FB3-4C94-A268-E688E1E888BE}"/>
              </c:ext>
            </c:extLst>
          </c:dPt>
          <c:dLbls>
            <c:dLbl>
              <c:idx val="1"/>
              <c:tx>
                <c:rich>
                  <a:bodyPr/>
                  <a:lstStyle/>
                  <a:p>
                    <a:fld id="{6703E343-BBA5-4DC0-901A-9B3C2D9C12A6}" type="PERCENTAGE">
                      <a:rPr lang="en-US">
                        <a:solidFill>
                          <a:schemeClr val="tx1"/>
                        </a:solidFill>
                      </a:rPr>
                      <a:pPr/>
                      <a:t>[PORCENTAJE]</a:t>
                    </a:fld>
                    <a:endParaRPr lang="es-MX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9FB3-4C94-A268-E688E1E888B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Dashboards!$A$20:$A$21</c:f>
              <c:strCache>
                <c:ptCount val="2"/>
                <c:pt idx="0">
                  <c:v>Desarrollo &amp; Análisis (Angel)</c:v>
                </c:pt>
                <c:pt idx="1">
                  <c:v>Diseño &amp; Scrum Master (Axel)</c:v>
                </c:pt>
              </c:strCache>
            </c:strRef>
          </c:cat>
          <c:val>
            <c:numRef>
              <c:f>Dashboards!$B$20:$B$21</c:f>
              <c:numCache>
                <c:formatCode>General</c:formatCode>
                <c:ptCount val="2"/>
                <c:pt idx="0">
                  <c:v>121</c:v>
                </c:pt>
                <c:pt idx="1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B3-4C94-A268-E688E1E888B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</c:legendEntry>
      <c:overlay val="0"/>
      <c:spPr>
        <a:solidFill>
          <a:schemeClr val="tx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400" b="0" i="0" u="none" strike="noStrike" baseline="0">
                <a:solidFill>
                  <a:schemeClr val="bg1"/>
                </a:solidFill>
              </a:rPr>
              <a:t>Project Burndown</a:t>
            </a:r>
            <a:endParaRPr lang="en-US" baseline="0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Dashboards!$B$37</c:f>
              <c:strCache>
                <c:ptCount val="1"/>
                <c:pt idx="0">
                  <c:v>Horas Restantes</c:v>
                </c:pt>
              </c:strCache>
            </c:strRef>
          </c:tx>
          <c:spPr>
            <a:ln w="28575" cap="rnd">
              <a:gradFill flip="none" rotWithShape="1">
                <a:gsLst>
                  <a:gs pos="0">
                    <a:schemeClr val="accent3">
                      <a:lumMod val="67000"/>
                    </a:schemeClr>
                  </a:gs>
                  <a:gs pos="48000">
                    <a:schemeClr val="accent3">
                      <a:lumMod val="97000"/>
                      <a:lumOff val="3000"/>
                    </a:schemeClr>
                  </a:gs>
                  <a:gs pos="100000">
                    <a:schemeClr val="accent3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Dashboards!$A$38:$A$43</c:f>
              <c:strCache>
                <c:ptCount val="6"/>
                <c:pt idx="0">
                  <c:v>Inicio (02 Oct)</c:v>
                </c:pt>
                <c:pt idx="1">
                  <c:v>Fin Sprint 2</c:v>
                </c:pt>
                <c:pt idx="2">
                  <c:v>Fin Sprint 3</c:v>
                </c:pt>
                <c:pt idx="3">
                  <c:v>Fin Sprint 3</c:v>
                </c:pt>
                <c:pt idx="4">
                  <c:v>Fin Sprint 4</c:v>
                </c:pt>
                <c:pt idx="5">
                  <c:v>Fin Sprint 5 (Hoy)</c:v>
                </c:pt>
              </c:strCache>
            </c:strRef>
          </c:cat>
          <c:val>
            <c:numRef>
              <c:f>Dashboards!$B$38:$B$43</c:f>
              <c:numCache>
                <c:formatCode>General</c:formatCode>
                <c:ptCount val="6"/>
                <c:pt idx="0">
                  <c:v>147</c:v>
                </c:pt>
                <c:pt idx="1">
                  <c:v>117</c:v>
                </c:pt>
                <c:pt idx="2">
                  <c:v>85</c:v>
                </c:pt>
                <c:pt idx="3">
                  <c:v>51</c:v>
                </c:pt>
                <c:pt idx="4">
                  <c:v>26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0-4DC2-BF10-DCC580F4D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5697888"/>
        <c:axId val="1065699328"/>
      </c:lineChart>
      <c:catAx>
        <c:axId val="1065697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65699328"/>
        <c:crosses val="autoZero"/>
        <c:auto val="1"/>
        <c:lblAlgn val="ctr"/>
        <c:lblOffset val="100"/>
        <c:noMultiLvlLbl val="0"/>
      </c:catAx>
      <c:valAx>
        <c:axId val="106569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65697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6352760</xdr:colOff>
      <xdr:row>0</xdr:row>
      <xdr:rowOff>82234</xdr:rowOff>
    </xdr:from>
    <xdr:to>
      <xdr:col>4</xdr:col>
      <xdr:colOff>126824</xdr:colOff>
      <xdr:row>7</xdr:row>
      <xdr:rowOff>53595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CB05662-8C2B-1A44-F42D-54C74DA50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56782" y="82234"/>
          <a:ext cx="2387977" cy="13048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6846795</xdr:colOff>
      <xdr:row>5</xdr:row>
      <xdr:rowOff>168088</xdr:rowOff>
    </xdr:from>
    <xdr:to>
      <xdr:col>4</xdr:col>
      <xdr:colOff>302560</xdr:colOff>
      <xdr:row>13</xdr:row>
      <xdr:rowOff>15688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154B3BD-EC00-B814-2C6F-8D4CD28E2C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51060" y="1120588"/>
          <a:ext cx="2095500" cy="1371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9525</xdr:rowOff>
    </xdr:from>
    <xdr:to>
      <xdr:col>9</xdr:col>
      <xdr:colOff>0</xdr:colOff>
      <xdr:row>14</xdr:row>
      <xdr:rowOff>85725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83C111B-DC39-801D-58AE-7206DB164E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760757</xdr:colOff>
      <xdr:row>18</xdr:row>
      <xdr:rowOff>7869</xdr:rowOff>
    </xdr:from>
    <xdr:to>
      <xdr:col>8</xdr:col>
      <xdr:colOff>760757</xdr:colOff>
      <xdr:row>32</xdr:row>
      <xdr:rowOff>84069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792E1A4-0124-02EA-F54D-D755B32EC7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757859</xdr:colOff>
      <xdr:row>35</xdr:row>
      <xdr:rowOff>173520</xdr:rowOff>
    </xdr:from>
    <xdr:to>
      <xdr:col>8</xdr:col>
      <xdr:colOff>757859</xdr:colOff>
      <xdr:row>50</xdr:row>
      <xdr:rowOff>59220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24CEE8B-E469-F31F-B03E-B5F45CBD63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20B632-9935-46D4-AAAE-C43027869530}" name="Tabla1" displayName="Tabla1" ref="A8:I49" headerRowDxfId="16">
  <autoFilter ref="A8:I49" xr:uid="{3F20B632-9935-46D4-AAAE-C43027869530}"/>
  <tableColumns count="9">
    <tableColumn id="1" xr3:uid="{CB7DA6A0-0B71-4531-B524-0D159BCF3B17}" name="ID" totalsRowDxfId="0"/>
    <tableColumn id="2" xr3:uid="{40294C8E-54E3-4416-BA9B-C425F81CAC48}" name="User Story" totalsRowDxfId="1"/>
    <tableColumn id="3" xr3:uid="{E5B7D27E-9631-49DF-A7C4-EF544A71455E}" name="Priority" totalsRowDxfId="2"/>
    <tableColumn id="4" xr3:uid="{45C170ED-6DE6-4BCF-B3BA-3E70229701E7}" name="Status" totalsRowDxfId="3"/>
    <tableColumn id="5" xr3:uid="{4988323A-5AF7-43B5-A74F-72248AF4E7BA}" name="Sprint" totalsRowDxfId="4"/>
    <tableColumn id="6" xr3:uid="{BC75DEA9-7507-4659-9C05-15F34A49BBF3}" name="Owner" totalsRowDxfId="5"/>
    <tableColumn id="7" xr3:uid="{17F3BB3E-8681-47C9-BB2C-523AB20A0B9F}" name="Estimate (Hrs)" totalsRowFunction="custom" dataDxfId="9" totalsRowDxfId="6">
      <totalsRowFormula>SUM(G43:G48)</totalsRowFormula>
    </tableColumn>
    <tableColumn id="8" xr3:uid="{A4C25CD9-5DD9-451F-AE27-333C5382B7B0}" name="Start Date" dataDxfId="10" totalsRowDxfId="7"/>
    <tableColumn id="9" xr3:uid="{828045A3-DCA4-4697-A7E2-07D823043033}" name="End Date" dataDxfId="11" totalsRowDxfId="8"/>
  </tableColumns>
  <tableStyleInfo name="TableStyleLight14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F88EE7-2876-4D65-894B-DC4FDED0B80E}" name="Tabla2" displayName="Tabla2" ref="A1:E6" totalsRowShown="0" headerRowDxfId="12">
  <autoFilter ref="A1:E6" xr:uid="{DCF88EE7-2876-4D65-894B-DC4FDED0B80E}"/>
  <tableColumns count="5">
    <tableColumn id="1" xr3:uid="{0695A98B-3618-4669-988A-F6160CCEB57A}" name="Sprint"/>
    <tableColumn id="2" xr3:uid="{8EE2CE9E-3823-4C7B-BE3C-20051C4E3D62}" name="Sprint Goal"/>
    <tableColumn id="3" xr3:uid="{C6E5E5BA-B13F-46DB-A214-E4F92BCE5DA5}" name="Start Date" dataDxfId="15"/>
    <tableColumn id="4" xr3:uid="{9D932230-6013-4386-B315-2FF02E52A8F4}" name="End Date" dataDxfId="14"/>
    <tableColumn id="5" xr3:uid="{8B675E93-9C39-4962-B3C2-5BE9B88F798D}" name="Status" dataDxfId="13"/>
  </tableColumns>
  <tableStyleInfo name="TableStyleLight14" showFirstColumn="0" showLastColumn="0" showRowStripes="0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B5128-DEC9-44B3-B188-C8AD8CEE8974}">
  <dimension ref="A2:I49"/>
  <sheetViews>
    <sheetView zoomScale="85" zoomScaleNormal="85" workbookViewId="0">
      <selection activeCell="A49" sqref="A49"/>
    </sheetView>
  </sheetViews>
  <sheetFormatPr baseColWidth="10" defaultColWidth="11.5703125" defaultRowHeight="15" x14ac:dyDescent="0.25"/>
  <cols>
    <col min="1" max="1" width="11.7109375" customWidth="1"/>
    <col min="2" max="2" width="97.140625" bestFit="1" customWidth="1"/>
    <col min="3" max="3" width="16.28515625" bestFit="1" customWidth="1"/>
    <col min="4" max="4" width="15.7109375" bestFit="1" customWidth="1"/>
    <col min="5" max="5" width="15" bestFit="1" customWidth="1"/>
    <col min="6" max="6" width="15.42578125" bestFit="1" customWidth="1"/>
    <col min="7" max="7" width="23.85546875" bestFit="1" customWidth="1"/>
    <col min="8" max="8" width="19.7109375" bestFit="1" customWidth="1"/>
    <col min="9" max="9" width="18.5703125" bestFit="1" customWidth="1"/>
    <col min="10" max="10" width="13.7109375" bestFit="1" customWidth="1"/>
  </cols>
  <sheetData>
    <row r="2" spans="1:9" x14ac:dyDescent="0.25">
      <c r="C2" s="4"/>
      <c r="D2" s="4"/>
    </row>
    <row r="3" spans="1:9" x14ac:dyDescent="0.25">
      <c r="C3" s="4"/>
      <c r="D3" s="4"/>
    </row>
    <row r="4" spans="1:9" x14ac:dyDescent="0.25">
      <c r="C4" s="4"/>
      <c r="D4" s="4"/>
    </row>
    <row r="5" spans="1:9" x14ac:dyDescent="0.25">
      <c r="C5" s="4"/>
      <c r="D5" s="4"/>
    </row>
    <row r="6" spans="1:9" x14ac:dyDescent="0.25">
      <c r="C6" s="4"/>
      <c r="D6" s="4"/>
    </row>
    <row r="7" spans="1:9" x14ac:dyDescent="0.25">
      <c r="C7" s="4"/>
      <c r="D7" s="4"/>
    </row>
    <row r="8" spans="1:9" x14ac:dyDescent="0.25">
      <c r="A8" s="5" t="s">
        <v>0</v>
      </c>
      <c r="B8" s="5" t="s">
        <v>6</v>
      </c>
      <c r="C8" s="5" t="s">
        <v>3</v>
      </c>
      <c r="D8" s="5" t="s">
        <v>4</v>
      </c>
      <c r="E8" s="5" t="s">
        <v>1</v>
      </c>
      <c r="F8" s="5" t="s">
        <v>5</v>
      </c>
      <c r="G8" s="5" t="s">
        <v>7</v>
      </c>
      <c r="H8" s="5" t="s">
        <v>8</v>
      </c>
      <c r="I8" s="5" t="s">
        <v>9</v>
      </c>
    </row>
    <row r="9" spans="1:9" x14ac:dyDescent="0.25">
      <c r="A9" s="6"/>
      <c r="B9" s="6"/>
      <c r="C9" s="6"/>
      <c r="D9" s="6"/>
      <c r="E9" s="6"/>
      <c r="F9" s="6"/>
      <c r="G9" s="7"/>
      <c r="H9" s="8"/>
      <c r="I9" s="8"/>
    </row>
    <row r="10" spans="1:9" x14ac:dyDescent="0.25">
      <c r="A10" s="6" t="s">
        <v>24</v>
      </c>
      <c r="B10" s="7" t="s">
        <v>25</v>
      </c>
      <c r="C10" s="7"/>
      <c r="D10" s="7"/>
      <c r="E10" s="7"/>
      <c r="F10" s="7"/>
      <c r="G10" s="7"/>
      <c r="H10" s="9"/>
      <c r="I10" s="9"/>
    </row>
    <row r="11" spans="1:9" x14ac:dyDescent="0.25">
      <c r="A11" s="6" t="s">
        <v>10</v>
      </c>
      <c r="B11" s="6" t="s">
        <v>26</v>
      </c>
      <c r="C11" s="6" t="s">
        <v>11</v>
      </c>
      <c r="D11" s="6" t="s">
        <v>12</v>
      </c>
      <c r="E11" s="6" t="s">
        <v>2</v>
      </c>
      <c r="F11" s="6" t="s">
        <v>13</v>
      </c>
      <c r="G11" s="7">
        <v>2</v>
      </c>
      <c r="H11" s="8">
        <v>45932</v>
      </c>
      <c r="I11" s="8">
        <v>45932</v>
      </c>
    </row>
    <row r="12" spans="1:9" x14ac:dyDescent="0.25">
      <c r="A12" s="6" t="s">
        <v>14</v>
      </c>
      <c r="B12" s="6" t="s">
        <v>27</v>
      </c>
      <c r="C12" s="6" t="s">
        <v>11</v>
      </c>
      <c r="D12" s="6" t="s">
        <v>12</v>
      </c>
      <c r="E12" s="6" t="s">
        <v>2</v>
      </c>
      <c r="F12" s="6" t="s">
        <v>13</v>
      </c>
      <c r="G12" s="7">
        <v>2</v>
      </c>
      <c r="H12" s="8">
        <v>45932</v>
      </c>
      <c r="I12" s="8">
        <v>45933</v>
      </c>
    </row>
    <row r="13" spans="1:9" x14ac:dyDescent="0.25">
      <c r="A13" s="6" t="s">
        <v>16</v>
      </c>
      <c r="B13" s="6" t="s">
        <v>28</v>
      </c>
      <c r="C13" s="6" t="s">
        <v>11</v>
      </c>
      <c r="D13" s="6" t="s">
        <v>12</v>
      </c>
      <c r="E13" s="6" t="s">
        <v>2</v>
      </c>
      <c r="F13" s="6" t="s">
        <v>13</v>
      </c>
      <c r="G13" s="7">
        <v>4</v>
      </c>
      <c r="H13" s="8">
        <v>45933</v>
      </c>
      <c r="I13" s="8">
        <v>45934</v>
      </c>
    </row>
    <row r="14" spans="1:9" x14ac:dyDescent="0.25">
      <c r="A14" s="6" t="s">
        <v>19</v>
      </c>
      <c r="B14" s="6" t="s">
        <v>29</v>
      </c>
      <c r="C14" s="6" t="s">
        <v>11</v>
      </c>
      <c r="D14" s="6" t="s">
        <v>12</v>
      </c>
      <c r="E14" s="6" t="s">
        <v>2</v>
      </c>
      <c r="F14" s="6" t="s">
        <v>13</v>
      </c>
      <c r="G14" s="7">
        <v>6</v>
      </c>
      <c r="H14" s="8">
        <v>45935</v>
      </c>
      <c r="I14" s="8">
        <v>45936</v>
      </c>
    </row>
    <row r="15" spans="1:9" x14ac:dyDescent="0.25">
      <c r="A15" s="6" t="s">
        <v>21</v>
      </c>
      <c r="B15" s="6" t="s">
        <v>30</v>
      </c>
      <c r="C15" s="6" t="s">
        <v>17</v>
      </c>
      <c r="D15" s="6" t="s">
        <v>12</v>
      </c>
      <c r="E15" s="6" t="s">
        <v>2</v>
      </c>
      <c r="F15" s="6" t="s">
        <v>31</v>
      </c>
      <c r="G15" s="7">
        <v>5</v>
      </c>
      <c r="H15" s="8">
        <v>45936</v>
      </c>
      <c r="I15" s="8">
        <v>45938</v>
      </c>
    </row>
    <row r="16" spans="1:9" x14ac:dyDescent="0.25">
      <c r="A16" s="6" t="s">
        <v>32</v>
      </c>
      <c r="B16" s="6" t="s">
        <v>33</v>
      </c>
      <c r="C16" s="6" t="s">
        <v>11</v>
      </c>
      <c r="D16" s="6" t="s">
        <v>12</v>
      </c>
      <c r="E16" s="6" t="s">
        <v>2</v>
      </c>
      <c r="F16" s="6" t="s">
        <v>13</v>
      </c>
      <c r="G16" s="7">
        <v>8</v>
      </c>
      <c r="H16" s="8">
        <v>45939</v>
      </c>
      <c r="I16" s="8">
        <v>45941</v>
      </c>
    </row>
    <row r="17" spans="1:9" x14ac:dyDescent="0.25">
      <c r="A17" s="6" t="s">
        <v>34</v>
      </c>
      <c r="B17" s="6" t="s">
        <v>35</v>
      </c>
      <c r="C17" s="6" t="s">
        <v>17</v>
      </c>
      <c r="D17" s="6" t="s">
        <v>12</v>
      </c>
      <c r="E17" s="6" t="s">
        <v>2</v>
      </c>
      <c r="F17" s="6" t="s">
        <v>13</v>
      </c>
      <c r="G17" s="7">
        <v>3</v>
      </c>
      <c r="H17" s="8">
        <v>45942</v>
      </c>
      <c r="I17" s="8">
        <v>45943</v>
      </c>
    </row>
    <row r="18" spans="1:9" x14ac:dyDescent="0.25">
      <c r="A18" s="6"/>
      <c r="B18" s="6"/>
      <c r="C18" s="6"/>
      <c r="D18" s="6"/>
      <c r="E18" s="6"/>
      <c r="F18" s="6"/>
      <c r="G18" s="10">
        <f>SUM(G11:G17)</f>
        <v>30</v>
      </c>
      <c r="H18" s="8"/>
      <c r="I18" s="8"/>
    </row>
    <row r="19" spans="1:9" x14ac:dyDescent="0.25">
      <c r="A19" s="6" t="s">
        <v>36</v>
      </c>
      <c r="B19" s="7" t="s">
        <v>37</v>
      </c>
      <c r="C19" s="7"/>
      <c r="D19" s="7"/>
      <c r="E19" s="7"/>
      <c r="F19" s="7"/>
      <c r="G19" s="7"/>
      <c r="H19" s="9"/>
      <c r="I19" s="9"/>
    </row>
    <row r="20" spans="1:9" x14ac:dyDescent="0.25">
      <c r="A20" s="6" t="s">
        <v>38</v>
      </c>
      <c r="B20" s="6" t="s">
        <v>39</v>
      </c>
      <c r="C20" s="6" t="s">
        <v>11</v>
      </c>
      <c r="D20" s="6" t="s">
        <v>12</v>
      </c>
      <c r="E20" s="6" t="s">
        <v>15</v>
      </c>
      <c r="F20" s="6" t="s">
        <v>13</v>
      </c>
      <c r="G20" s="7">
        <v>6</v>
      </c>
      <c r="H20" s="8">
        <v>45946</v>
      </c>
      <c r="I20" s="8">
        <v>45947</v>
      </c>
    </row>
    <row r="21" spans="1:9" x14ac:dyDescent="0.25">
      <c r="A21" s="6" t="s">
        <v>40</v>
      </c>
      <c r="B21" s="6" t="s">
        <v>41</v>
      </c>
      <c r="C21" s="6" t="s">
        <v>11</v>
      </c>
      <c r="D21" s="6" t="s">
        <v>12</v>
      </c>
      <c r="E21" s="6" t="s">
        <v>15</v>
      </c>
      <c r="F21" s="6" t="s">
        <v>13</v>
      </c>
      <c r="G21" s="7">
        <v>6</v>
      </c>
      <c r="H21" s="8">
        <v>45948</v>
      </c>
      <c r="I21" s="8">
        <v>45949</v>
      </c>
    </row>
    <row r="22" spans="1:9" x14ac:dyDescent="0.25">
      <c r="A22" s="6" t="s">
        <v>42</v>
      </c>
      <c r="B22" s="6" t="s">
        <v>43</v>
      </c>
      <c r="C22" s="6" t="s">
        <v>11</v>
      </c>
      <c r="D22" s="6" t="s">
        <v>12</v>
      </c>
      <c r="E22" s="6" t="s">
        <v>15</v>
      </c>
      <c r="F22" s="6" t="s">
        <v>13</v>
      </c>
      <c r="G22" s="7">
        <v>5</v>
      </c>
      <c r="H22" s="8">
        <v>45950</v>
      </c>
      <c r="I22" s="8">
        <v>45951</v>
      </c>
    </row>
    <row r="23" spans="1:9" x14ac:dyDescent="0.25">
      <c r="A23" s="6" t="s">
        <v>44</v>
      </c>
      <c r="B23" s="6" t="s">
        <v>45</v>
      </c>
      <c r="C23" s="6" t="s">
        <v>22</v>
      </c>
      <c r="D23" s="6" t="s">
        <v>12</v>
      </c>
      <c r="E23" s="6" t="s">
        <v>15</v>
      </c>
      <c r="F23" s="6" t="s">
        <v>31</v>
      </c>
      <c r="G23" s="7">
        <v>3</v>
      </c>
      <c r="H23" s="8">
        <v>45952</v>
      </c>
      <c r="I23" s="8">
        <v>45953</v>
      </c>
    </row>
    <row r="24" spans="1:9" x14ac:dyDescent="0.25">
      <c r="A24" s="6" t="s">
        <v>46</v>
      </c>
      <c r="B24" s="6" t="s">
        <v>47</v>
      </c>
      <c r="C24" s="6" t="s">
        <v>11</v>
      </c>
      <c r="D24" s="6" t="s">
        <v>12</v>
      </c>
      <c r="E24" s="6" t="s">
        <v>15</v>
      </c>
      <c r="F24" s="6" t="s">
        <v>13</v>
      </c>
      <c r="G24" s="7">
        <v>8</v>
      </c>
      <c r="H24" s="8">
        <v>45954</v>
      </c>
      <c r="I24" s="8">
        <v>45956</v>
      </c>
    </row>
    <row r="25" spans="1:9" x14ac:dyDescent="0.25">
      <c r="A25" s="6" t="s">
        <v>48</v>
      </c>
      <c r="B25" s="6" t="s">
        <v>49</v>
      </c>
      <c r="C25" s="6" t="s">
        <v>17</v>
      </c>
      <c r="D25" s="6" t="s">
        <v>12</v>
      </c>
      <c r="E25" s="6" t="s">
        <v>15</v>
      </c>
      <c r="F25" s="6" t="s">
        <v>13</v>
      </c>
      <c r="G25" s="7">
        <v>4</v>
      </c>
      <c r="H25" s="8">
        <v>45957</v>
      </c>
      <c r="I25" s="8">
        <v>45958</v>
      </c>
    </row>
    <row r="26" spans="1:9" x14ac:dyDescent="0.25">
      <c r="A26" s="6"/>
      <c r="B26" s="6"/>
      <c r="C26" s="6"/>
      <c r="D26" s="6"/>
      <c r="E26" s="6"/>
      <c r="F26" s="6"/>
      <c r="G26" s="7">
        <f>SUM(G20:G25)</f>
        <v>32</v>
      </c>
      <c r="H26" s="8"/>
      <c r="I26" s="8"/>
    </row>
    <row r="27" spans="1:9" x14ac:dyDescent="0.25">
      <c r="A27" s="6" t="s">
        <v>50</v>
      </c>
      <c r="B27" s="7" t="s">
        <v>51</v>
      </c>
      <c r="C27" s="7"/>
      <c r="D27" s="7"/>
      <c r="E27" s="7"/>
      <c r="F27" s="7"/>
      <c r="G27" s="7"/>
      <c r="H27" s="9"/>
      <c r="I27" s="9"/>
    </row>
    <row r="28" spans="1:9" x14ac:dyDescent="0.25">
      <c r="A28" s="6" t="s">
        <v>52</v>
      </c>
      <c r="B28" s="6" t="s">
        <v>53</v>
      </c>
      <c r="C28" s="6" t="s">
        <v>11</v>
      </c>
      <c r="D28" s="6" t="s">
        <v>12</v>
      </c>
      <c r="E28" s="6" t="s">
        <v>18</v>
      </c>
      <c r="F28" s="6" t="s">
        <v>13</v>
      </c>
      <c r="G28" s="7">
        <v>6</v>
      </c>
      <c r="H28" s="8">
        <v>45960</v>
      </c>
      <c r="I28" s="8">
        <v>45961</v>
      </c>
    </row>
    <row r="29" spans="1:9" x14ac:dyDescent="0.25">
      <c r="A29" s="6" t="s">
        <v>54</v>
      </c>
      <c r="B29" s="6" t="s">
        <v>55</v>
      </c>
      <c r="C29" s="6" t="s">
        <v>11</v>
      </c>
      <c r="D29" s="6" t="s">
        <v>12</v>
      </c>
      <c r="E29" s="6" t="s">
        <v>18</v>
      </c>
      <c r="F29" s="6" t="s">
        <v>13</v>
      </c>
      <c r="G29" s="7">
        <v>8</v>
      </c>
      <c r="H29" s="8">
        <v>45962</v>
      </c>
      <c r="I29" s="8">
        <v>45964</v>
      </c>
    </row>
    <row r="30" spans="1:9" x14ac:dyDescent="0.25">
      <c r="A30" s="6" t="s">
        <v>56</v>
      </c>
      <c r="B30" s="6" t="s">
        <v>57</v>
      </c>
      <c r="C30" s="6" t="s">
        <v>17</v>
      </c>
      <c r="D30" s="6" t="s">
        <v>12</v>
      </c>
      <c r="E30" s="6" t="s">
        <v>18</v>
      </c>
      <c r="F30" s="6" t="s">
        <v>31</v>
      </c>
      <c r="G30" s="7">
        <v>4</v>
      </c>
      <c r="H30" s="8">
        <v>45963</v>
      </c>
      <c r="I30" s="8">
        <v>45964</v>
      </c>
    </row>
    <row r="31" spans="1:9" x14ac:dyDescent="0.25">
      <c r="A31" s="6" t="s">
        <v>58</v>
      </c>
      <c r="B31" s="6" t="s">
        <v>59</v>
      </c>
      <c r="C31" s="6" t="s">
        <v>17</v>
      </c>
      <c r="D31" s="6" t="s">
        <v>12</v>
      </c>
      <c r="E31" s="6" t="s">
        <v>18</v>
      </c>
      <c r="F31" s="6" t="s">
        <v>13</v>
      </c>
      <c r="G31" s="7">
        <v>5</v>
      </c>
      <c r="H31" s="8">
        <v>45965</v>
      </c>
      <c r="I31" s="8">
        <v>45967</v>
      </c>
    </row>
    <row r="32" spans="1:9" x14ac:dyDescent="0.25">
      <c r="A32" s="6" t="s">
        <v>60</v>
      </c>
      <c r="B32" s="6" t="s">
        <v>61</v>
      </c>
      <c r="C32" s="6" t="s">
        <v>11</v>
      </c>
      <c r="D32" s="6" t="s">
        <v>12</v>
      </c>
      <c r="E32" s="6" t="s">
        <v>18</v>
      </c>
      <c r="F32" s="6" t="s">
        <v>13</v>
      </c>
      <c r="G32" s="7">
        <v>8</v>
      </c>
      <c r="H32" s="8">
        <v>45968</v>
      </c>
      <c r="I32" s="8">
        <v>45970</v>
      </c>
    </row>
    <row r="33" spans="1:9" x14ac:dyDescent="0.25">
      <c r="A33" s="6" t="s">
        <v>62</v>
      </c>
      <c r="B33" s="6" t="s">
        <v>63</v>
      </c>
      <c r="C33" s="6" t="s">
        <v>11</v>
      </c>
      <c r="D33" s="6" t="s">
        <v>12</v>
      </c>
      <c r="E33" s="6" t="s">
        <v>18</v>
      </c>
      <c r="F33" s="6" t="s">
        <v>13</v>
      </c>
      <c r="G33" s="7">
        <v>3</v>
      </c>
      <c r="H33" s="8">
        <v>45971</v>
      </c>
      <c r="I33" s="8">
        <v>45971</v>
      </c>
    </row>
    <row r="34" spans="1:9" x14ac:dyDescent="0.25">
      <c r="A34" s="6"/>
      <c r="B34" s="6"/>
      <c r="C34" s="6"/>
      <c r="D34" s="6"/>
      <c r="E34" s="6"/>
      <c r="F34" s="6"/>
      <c r="G34" s="10">
        <f>SUM(G28:G33)</f>
        <v>34</v>
      </c>
      <c r="H34" s="8"/>
      <c r="I34" s="8"/>
    </row>
    <row r="35" spans="1:9" x14ac:dyDescent="0.25">
      <c r="A35" s="6" t="s">
        <v>64</v>
      </c>
      <c r="B35" s="7" t="s">
        <v>65</v>
      </c>
      <c r="C35" s="7"/>
      <c r="D35" s="7"/>
      <c r="E35" s="7"/>
      <c r="F35" s="7"/>
      <c r="G35" s="7"/>
      <c r="H35" s="9"/>
      <c r="I35" s="9"/>
    </row>
    <row r="36" spans="1:9" x14ac:dyDescent="0.25">
      <c r="A36" s="6" t="s">
        <v>66</v>
      </c>
      <c r="B36" s="6" t="s">
        <v>67</v>
      </c>
      <c r="C36" s="6" t="s">
        <v>11</v>
      </c>
      <c r="D36" s="6" t="s">
        <v>12</v>
      </c>
      <c r="E36" s="6" t="s">
        <v>20</v>
      </c>
      <c r="F36" s="6" t="s">
        <v>13</v>
      </c>
      <c r="G36" s="7">
        <v>6</v>
      </c>
      <c r="H36" s="8">
        <v>45974</v>
      </c>
      <c r="I36" s="8">
        <v>45976</v>
      </c>
    </row>
    <row r="37" spans="1:9" x14ac:dyDescent="0.25">
      <c r="A37" s="6" t="s">
        <v>68</v>
      </c>
      <c r="B37" s="6" t="s">
        <v>69</v>
      </c>
      <c r="C37" s="6" t="s">
        <v>17</v>
      </c>
      <c r="D37" s="6" t="s">
        <v>12</v>
      </c>
      <c r="E37" s="6" t="s">
        <v>20</v>
      </c>
      <c r="F37" s="6" t="s">
        <v>31</v>
      </c>
      <c r="G37" s="7">
        <v>5</v>
      </c>
      <c r="H37" s="8">
        <v>45977</v>
      </c>
      <c r="I37" s="8">
        <v>45978</v>
      </c>
    </row>
    <row r="38" spans="1:9" x14ac:dyDescent="0.25">
      <c r="A38" s="6" t="s">
        <v>70</v>
      </c>
      <c r="B38" s="6" t="s">
        <v>71</v>
      </c>
      <c r="C38" s="6" t="s">
        <v>22</v>
      </c>
      <c r="D38" s="6" t="s">
        <v>12</v>
      </c>
      <c r="E38" s="6" t="s">
        <v>20</v>
      </c>
      <c r="F38" s="6" t="s">
        <v>31</v>
      </c>
      <c r="G38" s="7">
        <v>4</v>
      </c>
      <c r="H38" s="8">
        <v>45979</v>
      </c>
      <c r="I38" s="8">
        <v>45980</v>
      </c>
    </row>
    <row r="39" spans="1:9" x14ac:dyDescent="0.25">
      <c r="A39" s="6" t="s">
        <v>72</v>
      </c>
      <c r="B39" s="6" t="s">
        <v>73</v>
      </c>
      <c r="C39" s="6" t="s">
        <v>17</v>
      </c>
      <c r="D39" s="6" t="s">
        <v>12</v>
      </c>
      <c r="E39" s="6" t="s">
        <v>20</v>
      </c>
      <c r="F39" s="6" t="s">
        <v>13</v>
      </c>
      <c r="G39" s="7">
        <v>4</v>
      </c>
      <c r="H39" s="8">
        <v>45981</v>
      </c>
      <c r="I39" s="8">
        <v>45982</v>
      </c>
    </row>
    <row r="40" spans="1:9" x14ac:dyDescent="0.25">
      <c r="A40" s="6" t="s">
        <v>74</v>
      </c>
      <c r="B40" s="6" t="s">
        <v>75</v>
      </c>
      <c r="C40" s="6" t="s">
        <v>22</v>
      </c>
      <c r="D40" s="6" t="s">
        <v>12</v>
      </c>
      <c r="E40" s="6" t="s">
        <v>20</v>
      </c>
      <c r="F40" s="6" t="s">
        <v>13</v>
      </c>
      <c r="G40" s="7">
        <v>6</v>
      </c>
      <c r="H40" s="8">
        <v>45983</v>
      </c>
      <c r="I40" s="8">
        <v>45985</v>
      </c>
    </row>
    <row r="41" spans="1:9" x14ac:dyDescent="0.25">
      <c r="A41" s="6"/>
      <c r="B41" s="6"/>
      <c r="C41" s="6"/>
      <c r="D41" s="6"/>
      <c r="E41" s="6"/>
      <c r="F41" s="6"/>
      <c r="G41" s="10">
        <f>SUM(G36:G40)</f>
        <v>25</v>
      </c>
      <c r="H41" s="8"/>
      <c r="I41" s="8"/>
    </row>
    <row r="42" spans="1:9" x14ac:dyDescent="0.25">
      <c r="A42" s="6" t="s">
        <v>76</v>
      </c>
      <c r="B42" s="7" t="s">
        <v>77</v>
      </c>
      <c r="C42" s="7"/>
      <c r="D42" s="7"/>
      <c r="E42" s="7"/>
      <c r="F42" s="7"/>
      <c r="G42" s="7"/>
      <c r="H42" s="9"/>
      <c r="I42" s="9"/>
    </row>
    <row r="43" spans="1:9" x14ac:dyDescent="0.25">
      <c r="A43" s="6" t="s">
        <v>78</v>
      </c>
      <c r="B43" s="6" t="s">
        <v>79</v>
      </c>
      <c r="C43" s="6" t="s">
        <v>17</v>
      </c>
      <c r="D43" s="6" t="s">
        <v>12</v>
      </c>
      <c r="E43" s="6" t="s">
        <v>23</v>
      </c>
      <c r="F43" s="6" t="s">
        <v>13</v>
      </c>
      <c r="G43" s="7">
        <v>8</v>
      </c>
      <c r="H43" s="8">
        <v>45988</v>
      </c>
      <c r="I43" s="8">
        <v>45990</v>
      </c>
    </row>
    <row r="44" spans="1:9" x14ac:dyDescent="0.25">
      <c r="A44" s="6" t="s">
        <v>80</v>
      </c>
      <c r="B44" s="6" t="s">
        <v>81</v>
      </c>
      <c r="C44" s="6" t="s">
        <v>22</v>
      </c>
      <c r="D44" s="6" t="s">
        <v>12</v>
      </c>
      <c r="E44" s="6" t="s">
        <v>23</v>
      </c>
      <c r="F44" s="6" t="s">
        <v>31</v>
      </c>
      <c r="G44" s="7">
        <v>5</v>
      </c>
      <c r="H44" s="8">
        <v>45991</v>
      </c>
      <c r="I44" s="8">
        <v>45992</v>
      </c>
    </row>
    <row r="45" spans="1:9" x14ac:dyDescent="0.25">
      <c r="A45" s="6" t="s">
        <v>82</v>
      </c>
      <c r="B45" s="6" t="s">
        <v>83</v>
      </c>
      <c r="C45" s="6" t="s">
        <v>17</v>
      </c>
      <c r="D45" s="6" t="s">
        <v>12</v>
      </c>
      <c r="E45" s="6" t="s">
        <v>23</v>
      </c>
      <c r="F45" s="6" t="s">
        <v>13</v>
      </c>
      <c r="G45" s="7">
        <v>4</v>
      </c>
      <c r="H45" s="8">
        <v>45993</v>
      </c>
      <c r="I45" s="8">
        <v>45993</v>
      </c>
    </row>
    <row r="46" spans="1:9" x14ac:dyDescent="0.25">
      <c r="A46" s="6" t="s">
        <v>84</v>
      </c>
      <c r="B46" s="6" t="s">
        <v>85</v>
      </c>
      <c r="C46" s="6" t="s">
        <v>22</v>
      </c>
      <c r="D46" s="6" t="s">
        <v>12</v>
      </c>
      <c r="E46" s="6" t="s">
        <v>23</v>
      </c>
      <c r="F46" s="6" t="s">
        <v>13</v>
      </c>
      <c r="G46" s="7">
        <v>3</v>
      </c>
      <c r="H46" s="8">
        <v>45994</v>
      </c>
      <c r="I46" s="8">
        <v>45994</v>
      </c>
    </row>
    <row r="47" spans="1:9" x14ac:dyDescent="0.25">
      <c r="A47" s="6" t="s">
        <v>86</v>
      </c>
      <c r="B47" s="6" t="s">
        <v>87</v>
      </c>
      <c r="C47" s="6" t="s">
        <v>17</v>
      </c>
      <c r="D47" s="6" t="s">
        <v>12</v>
      </c>
      <c r="E47" s="6" t="s">
        <v>23</v>
      </c>
      <c r="F47" s="6" t="s">
        <v>13</v>
      </c>
      <c r="G47" s="7">
        <v>4</v>
      </c>
      <c r="H47" s="8">
        <v>45994</v>
      </c>
      <c r="I47" s="8">
        <v>45995</v>
      </c>
    </row>
    <row r="48" spans="1:9" x14ac:dyDescent="0.25">
      <c r="A48" s="6" t="s">
        <v>88</v>
      </c>
      <c r="B48" s="6" t="s">
        <v>89</v>
      </c>
      <c r="C48" s="6" t="s">
        <v>11</v>
      </c>
      <c r="D48" s="6" t="s">
        <v>12</v>
      </c>
      <c r="E48" s="6" t="s">
        <v>23</v>
      </c>
      <c r="F48" s="6" t="s">
        <v>13</v>
      </c>
      <c r="G48" s="7">
        <v>2</v>
      </c>
      <c r="H48" s="8">
        <v>45995</v>
      </c>
      <c r="I48" s="8">
        <v>45995</v>
      </c>
    </row>
    <row r="49" spans="7:9" x14ac:dyDescent="0.25">
      <c r="G49" s="7">
        <f>SUM(G43:G48)</f>
        <v>26</v>
      </c>
      <c r="H49" s="1"/>
      <c r="I49" s="1"/>
    </row>
  </sheetData>
  <mergeCells count="1">
    <mergeCell ref="C2:D7"/>
  </mergeCells>
  <phoneticPr fontId="2" type="noConversion"/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FC482-9FA9-409B-823D-15898A6462AE}">
  <dimension ref="A1:E13"/>
  <sheetViews>
    <sheetView zoomScale="85" zoomScaleNormal="85" workbookViewId="0">
      <selection activeCell="B14" sqref="B14"/>
    </sheetView>
  </sheetViews>
  <sheetFormatPr baseColWidth="10" defaultRowHeight="15" x14ac:dyDescent="0.25"/>
  <cols>
    <col min="1" max="1" width="7.5703125" bestFit="1" customWidth="1"/>
    <col min="2" max="2" width="108" bestFit="1" customWidth="1"/>
    <col min="3" max="4" width="10.7109375" bestFit="1" customWidth="1"/>
    <col min="5" max="5" width="10.42578125" bestFit="1" customWidth="1"/>
  </cols>
  <sheetData>
    <row r="1" spans="1:5" x14ac:dyDescent="0.25">
      <c r="A1" s="3" t="s">
        <v>1</v>
      </c>
      <c r="B1" s="3" t="s">
        <v>90</v>
      </c>
      <c r="C1" s="3" t="s">
        <v>8</v>
      </c>
      <c r="D1" s="3" t="s">
        <v>9</v>
      </c>
      <c r="E1" s="3" t="s">
        <v>4</v>
      </c>
    </row>
    <row r="2" spans="1:5" x14ac:dyDescent="0.25">
      <c r="A2" t="s">
        <v>2</v>
      </c>
      <c r="B2" t="s">
        <v>91</v>
      </c>
      <c r="C2" s="1">
        <v>45932</v>
      </c>
      <c r="D2" s="1">
        <v>45945</v>
      </c>
      <c r="E2" s="11" t="s">
        <v>92</v>
      </c>
    </row>
    <row r="3" spans="1:5" x14ac:dyDescent="0.25">
      <c r="A3" t="s">
        <v>15</v>
      </c>
      <c r="B3" t="s">
        <v>93</v>
      </c>
      <c r="C3" s="1">
        <v>45946</v>
      </c>
      <c r="D3" s="1">
        <v>45959</v>
      </c>
      <c r="E3" s="11" t="s">
        <v>92</v>
      </c>
    </row>
    <row r="4" spans="1:5" x14ac:dyDescent="0.25">
      <c r="A4" t="s">
        <v>18</v>
      </c>
      <c r="B4" t="s">
        <v>94</v>
      </c>
      <c r="C4" s="1">
        <v>45960</v>
      </c>
      <c r="D4" s="1">
        <v>45973</v>
      </c>
      <c r="E4" s="11" t="s">
        <v>92</v>
      </c>
    </row>
    <row r="5" spans="1:5" x14ac:dyDescent="0.25">
      <c r="A5" t="s">
        <v>20</v>
      </c>
      <c r="B5" t="s">
        <v>95</v>
      </c>
      <c r="C5" s="1">
        <v>45974</v>
      </c>
      <c r="D5" s="1">
        <v>45987</v>
      </c>
      <c r="E5" s="11" t="s">
        <v>92</v>
      </c>
    </row>
    <row r="6" spans="1:5" x14ac:dyDescent="0.25">
      <c r="A6" t="s">
        <v>23</v>
      </c>
      <c r="B6" t="s">
        <v>96</v>
      </c>
      <c r="C6" s="1">
        <v>45988</v>
      </c>
      <c r="D6" s="1">
        <v>45995</v>
      </c>
      <c r="E6" s="11" t="s">
        <v>92</v>
      </c>
    </row>
    <row r="7" spans="1:5" x14ac:dyDescent="0.25">
      <c r="C7" s="4"/>
      <c r="D7" s="4"/>
    </row>
    <row r="8" spans="1:5" x14ac:dyDescent="0.25">
      <c r="C8" s="4"/>
      <c r="D8" s="4"/>
    </row>
    <row r="9" spans="1:5" x14ac:dyDescent="0.25">
      <c r="C9" s="4"/>
      <c r="D9" s="4"/>
    </row>
    <row r="10" spans="1:5" x14ac:dyDescent="0.25">
      <c r="C10" s="4"/>
      <c r="D10" s="4"/>
    </row>
    <row r="11" spans="1:5" x14ac:dyDescent="0.25">
      <c r="C11" s="4"/>
      <c r="D11" s="4"/>
    </row>
    <row r="12" spans="1:5" x14ac:dyDescent="0.25">
      <c r="C12" s="4"/>
      <c r="D12" s="4"/>
    </row>
    <row r="13" spans="1:5" x14ac:dyDescent="0.25">
      <c r="C13" s="4"/>
      <c r="D13" s="4"/>
    </row>
  </sheetData>
  <mergeCells count="1">
    <mergeCell ref="C7:D13"/>
  </mergeCell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EE20C-2372-4E98-86AF-5A5CF8211502}">
  <dimension ref="A1:B43"/>
  <sheetViews>
    <sheetView tabSelected="1" zoomScaleNormal="100" workbookViewId="0">
      <selection activeCell="L1" sqref="L1"/>
    </sheetView>
  </sheetViews>
  <sheetFormatPr baseColWidth="10" defaultRowHeight="15" x14ac:dyDescent="0.25"/>
  <sheetData>
    <row r="1" spans="1:2" x14ac:dyDescent="0.25">
      <c r="A1" s="2" t="s">
        <v>1</v>
      </c>
      <c r="B1" s="2" t="s">
        <v>97</v>
      </c>
    </row>
    <row r="2" spans="1:2" x14ac:dyDescent="0.25">
      <c r="A2" s="2" t="s">
        <v>98</v>
      </c>
      <c r="B2" s="2">
        <v>30</v>
      </c>
    </row>
    <row r="3" spans="1:2" x14ac:dyDescent="0.25">
      <c r="A3" s="2" t="s">
        <v>99</v>
      </c>
      <c r="B3" s="2">
        <v>32</v>
      </c>
    </row>
    <row r="4" spans="1:2" x14ac:dyDescent="0.25">
      <c r="A4" s="2" t="s">
        <v>18</v>
      </c>
      <c r="B4" s="2">
        <v>34</v>
      </c>
    </row>
    <row r="5" spans="1:2" x14ac:dyDescent="0.25">
      <c r="A5" s="2" t="s">
        <v>20</v>
      </c>
      <c r="B5" s="2">
        <v>25</v>
      </c>
    </row>
    <row r="6" spans="1:2" x14ac:dyDescent="0.25">
      <c r="A6" s="2" t="s">
        <v>23</v>
      </c>
      <c r="B6" s="2">
        <v>26</v>
      </c>
    </row>
    <row r="19" spans="1:2" x14ac:dyDescent="0.25">
      <c r="A19" s="2" t="s">
        <v>100</v>
      </c>
      <c r="B19" s="2" t="s">
        <v>97</v>
      </c>
    </row>
    <row r="20" spans="1:2" x14ac:dyDescent="0.25">
      <c r="A20" s="2" t="s">
        <v>101</v>
      </c>
      <c r="B20" s="2">
        <v>121</v>
      </c>
    </row>
    <row r="21" spans="1:2" x14ac:dyDescent="0.25">
      <c r="A21" s="2" t="s">
        <v>102</v>
      </c>
      <c r="B21" s="2">
        <v>26</v>
      </c>
    </row>
    <row r="37" spans="1:2" x14ac:dyDescent="0.25">
      <c r="A37" t="s">
        <v>103</v>
      </c>
      <c r="B37" t="s">
        <v>104</v>
      </c>
    </row>
    <row r="38" spans="1:2" x14ac:dyDescent="0.25">
      <c r="A38" t="s">
        <v>109</v>
      </c>
      <c r="B38">
        <v>147</v>
      </c>
    </row>
    <row r="39" spans="1:2" x14ac:dyDescent="0.25">
      <c r="A39" t="s">
        <v>108</v>
      </c>
      <c r="B39">
        <v>117</v>
      </c>
    </row>
    <row r="40" spans="1:2" x14ac:dyDescent="0.25">
      <c r="A40" t="s">
        <v>107</v>
      </c>
      <c r="B40">
        <v>85</v>
      </c>
    </row>
    <row r="41" spans="1:2" x14ac:dyDescent="0.25">
      <c r="A41" t="s">
        <v>107</v>
      </c>
      <c r="B41">
        <v>51</v>
      </c>
    </row>
    <row r="42" spans="1:2" x14ac:dyDescent="0.25">
      <c r="A42" t="s">
        <v>106</v>
      </c>
      <c r="B42">
        <v>26</v>
      </c>
    </row>
    <row r="43" spans="1:2" x14ac:dyDescent="0.25">
      <c r="A43" t="s">
        <v>105</v>
      </c>
      <c r="B43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Product Backlog</vt:lpstr>
      <vt:lpstr>Planificación de Sprints</vt:lpstr>
      <vt:lpstr>Dashboards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Mario Anguiano Rivera</dc:creator>
  <cp:lastModifiedBy>Angel Mario Anguiano Rivera</cp:lastModifiedBy>
  <dcterms:created xsi:type="dcterms:W3CDTF">2025-12-04T06:02:17Z</dcterms:created>
  <dcterms:modified xsi:type="dcterms:W3CDTF">2025-12-04T07:39:17Z</dcterms:modified>
</cp:coreProperties>
</file>